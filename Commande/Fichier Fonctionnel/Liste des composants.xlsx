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MOTEUR" sheetId="1" r:id="rId5"/>
    <sheet state="visible" name="CHOIX POUR LES ACHATS" sheetId="2" r:id="rId6"/>
    <sheet state="visible" name="Liste Drivers" sheetId="3" r:id="rId7"/>
    <sheet state="visible" name="Feuille 4" sheetId="4" r:id="rId8"/>
  </sheets>
  <definedNames>
    <definedName hidden="1" localSheetId="0" name="Z_76D793F5_FC28_46FF_9607_6BB8BF0E78C0_.wvu.FilterData">'LISTE MOTEUR'!$A$1:$G$16</definedName>
  </definedNames>
  <calcPr/>
  <customWorkbookViews>
    <customWorkbookView activeSheetId="0" maximized="1" windowHeight="0" windowWidth="0" guid="{76D793F5-FC28-46FF-9607-6BB8BF0E78C0}" name="Filtre 1"/>
  </customWorkbookViews>
</workbook>
</file>

<file path=xl/sharedStrings.xml><?xml version="1.0" encoding="utf-8"?>
<sst xmlns="http://schemas.openxmlformats.org/spreadsheetml/2006/main" count="322" uniqueCount="248">
  <si>
    <t xml:space="preserve"> </t>
  </si>
  <si>
    <t>MODELE</t>
  </si>
  <si>
    <t>ALIMENTATION</t>
  </si>
  <si>
    <t>INTENSITÉ (en A)</t>
  </si>
  <si>
    <t>PUISSANCE</t>
  </si>
  <si>
    <t xml:space="preserve"> COUPLE</t>
  </si>
  <si>
    <t>TOUR PAR MIN</t>
  </si>
  <si>
    <t>NOMBRE DE PAS</t>
  </si>
  <si>
    <t>POIDS (en g)</t>
  </si>
  <si>
    <t>DIMMENSION (en mm)</t>
  </si>
  <si>
    <t>PRIX (TTC)</t>
  </si>
  <si>
    <t>LIEN</t>
  </si>
  <si>
    <t xml:space="preserve">Moteur pas à pas </t>
  </si>
  <si>
    <r>
      <rPr>
        <rFont val="Arial"/>
        <b/>
        <color theme="1"/>
      </rPr>
      <t>NEMA17</t>
    </r>
    <r>
      <rPr>
        <rFont val="Arial"/>
        <color theme="1"/>
      </rPr>
      <t>-06 (icam)</t>
    </r>
  </si>
  <si>
    <t>3,6V</t>
  </si>
  <si>
    <t>7,2W</t>
  </si>
  <si>
    <t>0,59Nm</t>
  </si>
  <si>
    <t>jusqu'à 300tr/min</t>
  </si>
  <si>
    <t>200 pas (1,8°)</t>
  </si>
  <si>
    <t>42x42x48</t>
  </si>
  <si>
    <t>https://www.lextronic.fr/moteur-pas-a-pas-de-precision-nema17-64265.html</t>
  </si>
  <si>
    <r>
      <rPr>
        <rFont val="Arial"/>
        <b/>
        <color theme="1"/>
      </rPr>
      <t>NEMA8</t>
    </r>
    <r>
      <rPr>
        <rFont val="Arial"/>
        <color theme="1"/>
      </rPr>
      <t>-01</t>
    </r>
  </si>
  <si>
    <t>3,9V</t>
  </si>
  <si>
    <t>2,34W</t>
  </si>
  <si>
    <t>0,018Nm</t>
  </si>
  <si>
    <t>-</t>
  </si>
  <si>
    <t>20x22x50 (arbre)</t>
  </si>
  <si>
    <t>https://www.lextronic.fr/mini-moteur-pas-a-pas-nema8-01-64823.html</t>
  </si>
  <si>
    <r>
      <rPr>
        <rFont val="Arial"/>
        <b/>
        <color theme="1"/>
      </rPr>
      <t>NEMA8</t>
    </r>
    <r>
      <rPr>
        <rFont val="Arial"/>
        <color theme="1"/>
      </rPr>
      <t>-02</t>
    </r>
  </si>
  <si>
    <t>4V</t>
  </si>
  <si>
    <t>3,2W</t>
  </si>
  <si>
    <t>0,020Nm</t>
  </si>
  <si>
    <t>20x22x61,7 (arbre)</t>
  </si>
  <si>
    <t>https://www.lextronic.fr/mini-moteur-pas-a-pas-nema8-02-64824.html</t>
  </si>
  <si>
    <r>
      <rPr>
        <rFont val="Arial"/>
        <b/>
        <color theme="1"/>
      </rPr>
      <t>NEMA8</t>
    </r>
    <r>
      <rPr>
        <rFont val="Arial"/>
        <color theme="1"/>
      </rPr>
      <t>-03</t>
    </r>
  </si>
  <si>
    <t>4,26V</t>
  </si>
  <si>
    <t>2,56W</t>
  </si>
  <si>
    <t>0,022Nm</t>
  </si>
  <si>
    <t>20x22x37,3 (arbre)</t>
  </si>
  <si>
    <t>https://www.lextronic.fr/mini-moteur-pas-a-pas-nema8-03-64837.html</t>
  </si>
  <si>
    <r>
      <rPr>
        <rFont val="Arial"/>
        <b/>
        <color rgb="FF1D1D1D"/>
      </rPr>
      <t>NEMA8-</t>
    </r>
    <r>
      <rPr>
        <rFont val="Arial"/>
        <b val="0"/>
        <color rgb="FF1D1D1D"/>
      </rPr>
      <t>05 (arbre creux)</t>
    </r>
  </si>
  <si>
    <t>20x22x37 (arbre)</t>
  </si>
  <si>
    <t>https://www.lextronic.fr/moteur-pas-a-pas-nema8-05hs-a-arbre-creux-64831.html</t>
  </si>
  <si>
    <r>
      <rPr>
        <rFont val="Arial"/>
        <b/>
        <color theme="1"/>
      </rPr>
      <t>NEMA17-</t>
    </r>
    <r>
      <rPr>
        <rFont val="Arial"/>
        <color theme="1"/>
      </rPr>
      <t>02 (arbre traversant)</t>
    </r>
  </si>
  <si>
    <t>2,8V</t>
  </si>
  <si>
    <t>4,70W</t>
  </si>
  <si>
    <t>0,431Nm</t>
  </si>
  <si>
    <t xml:space="preserve">- </t>
  </si>
  <si>
    <t>42,3x42,3x47 (arbre)</t>
  </si>
  <si>
    <t>https://www.lextronic.fr/moteur-pas-a-pas-nema17-arbre-traversant-39848.html</t>
  </si>
  <si>
    <r>
      <rPr>
        <rFont val="Arial"/>
        <b/>
        <color rgb="FF1D1D1D"/>
      </rPr>
      <t>NEMA11-</t>
    </r>
    <r>
      <rPr>
        <rFont val="Arial"/>
        <b val="0"/>
        <color rgb="FF1D1D1D"/>
      </rPr>
      <t>02</t>
    </r>
  </si>
  <si>
    <t>6,5V</t>
  </si>
  <si>
    <t>4,36W</t>
  </si>
  <si>
    <t>0,008Nm</t>
  </si>
  <si>
    <t>jusqu'à 3000 tr/min</t>
  </si>
  <si>
    <t>28,2x28,2x71,7 (arbre)</t>
  </si>
  <si>
    <t>https://www.lextronic.fr/moteur-pas-a-pas-nema11-02-64829.html</t>
  </si>
  <si>
    <r>
      <rPr>
        <rFont val="Arial"/>
        <b/>
        <color rgb="FF1D1D1D"/>
      </rPr>
      <t>NEMA11-</t>
    </r>
    <r>
      <rPr>
        <rFont val="Arial"/>
        <b val="0"/>
        <color rgb="FF1D1D1D"/>
      </rPr>
      <t>01</t>
    </r>
  </si>
  <si>
    <t>5V</t>
  </si>
  <si>
    <t>2,1W</t>
  </si>
  <si>
    <t>0,055Nm</t>
  </si>
  <si>
    <t>28,2x28,2x52 (arbre)</t>
  </si>
  <si>
    <t>https://www.lextronic.fr/moteur-pas-a-pas-nema11-01-64835.html</t>
  </si>
  <si>
    <r>
      <rPr>
        <rFont val="Arial"/>
        <b/>
        <color rgb="FF000000"/>
      </rPr>
      <t>NEMA17-</t>
    </r>
    <r>
      <rPr>
        <rFont val="Arial"/>
        <color rgb="FF000000"/>
      </rPr>
      <t>01</t>
    </r>
  </si>
  <si>
    <t>5,21W</t>
  </si>
  <si>
    <t>0,043Nm</t>
  </si>
  <si>
    <t>https://www.lextronic.fr/moteur-pas-a-pas-de-precision-nema17-76781.html</t>
  </si>
  <si>
    <r>
      <rPr>
        <rFont val="Arial"/>
        <b/>
        <color theme="1"/>
      </rPr>
      <t>NEMA17-</t>
    </r>
    <r>
      <rPr>
        <rFont val="Arial"/>
        <color theme="1"/>
      </rPr>
      <t>03</t>
    </r>
  </si>
  <si>
    <t>6W</t>
  </si>
  <si>
    <t>0,2 Nm</t>
  </si>
  <si>
    <t>42x42x27</t>
  </si>
  <si>
    <t>https://www.lextronic.fr/moteur-pas-a-pas-nema17-03-64826.html</t>
  </si>
  <si>
    <r>
      <rPr>
        <rFont val="Arial"/>
        <b/>
        <color theme="1"/>
      </rPr>
      <t>NEMA23-</t>
    </r>
    <r>
      <rPr>
        <rFont val="Arial"/>
        <color theme="1"/>
      </rPr>
      <t>05</t>
    </r>
  </si>
  <si>
    <t>6,5W</t>
  </si>
  <si>
    <t>1,32Nm</t>
  </si>
  <si>
    <t>56x56x96 (arbre)</t>
  </si>
  <si>
    <t>https://www.lextronic.fr/moteur-pas-a-pas-nema23-05-64825.html</t>
  </si>
  <si>
    <r>
      <rPr>
        <rFont val="Arial"/>
        <b/>
        <color theme="1"/>
      </rPr>
      <t>NEMA14-</t>
    </r>
    <r>
      <rPr>
        <rFont val="Arial"/>
        <color theme="1"/>
      </rPr>
      <t>02</t>
    </r>
  </si>
  <si>
    <t>4,35V</t>
  </si>
  <si>
    <t>3,26W</t>
  </si>
  <si>
    <t>0,15Nm</t>
  </si>
  <si>
    <t>35,3x35,3x54 (arbre)</t>
  </si>
  <si>
    <t>https://www.lextronic.fr/moteur-pas-a-pas-nema14-02-64834.html</t>
  </si>
  <si>
    <t>Solénoïde</t>
  </si>
  <si>
    <t>Electro-aimant Push 12 V</t>
  </si>
  <si>
    <t>12V</t>
  </si>
  <si>
    <t>3,8mm de course</t>
  </si>
  <si>
    <t>force : 150g</t>
  </si>
  <si>
    <t>37,3/33x12x11</t>
  </si>
  <si>
    <t>https://www.lextronic.fr/solenoide-push-12-v-150-g-58747.html</t>
  </si>
  <si>
    <t>Electro-aimant Push Pull 12 V</t>
  </si>
  <si>
    <t>8 mm de course</t>
  </si>
  <si>
    <t>force : 40g</t>
  </si>
  <si>
    <t>50x16x19</t>
  </si>
  <si>
    <t>https://www.lextronic.fr/solenoide-push-pull-12-v-course-8-mm-58749.html</t>
  </si>
  <si>
    <t>électro-aimant Push 12 V grande course</t>
  </si>
  <si>
    <t>7,5W</t>
  </si>
  <si>
    <t>21 mm de course</t>
  </si>
  <si>
    <t>force : 50g</t>
  </si>
  <si>
    <t>87,4 x 31 x 25,4</t>
  </si>
  <si>
    <t>https://www.lextronic.fr/solenoide-push-12-v-grande-course-58751.html</t>
  </si>
  <si>
    <t>Motoréducteur</t>
  </si>
  <si>
    <t>Motoréducteur 37025GM-12280</t>
  </si>
  <si>
    <t>12V/6V</t>
  </si>
  <si>
    <t>14,4W</t>
  </si>
  <si>
    <t>0,069Nm</t>
  </si>
  <si>
    <t>230 tr/min</t>
  </si>
  <si>
    <t>réduction:23,1:1</t>
  </si>
  <si>
    <t>25x65,3x25</t>
  </si>
  <si>
    <t>https://www.lextronic.fr/motoreducteur-37025gm-12280-76344.html</t>
  </si>
  <si>
    <t>Motoréducteur 52037GM-12320</t>
  </si>
  <si>
    <t>18W</t>
  </si>
  <si>
    <t>0,066Nm</t>
  </si>
  <si>
    <t>224 tr/min</t>
  </si>
  <si>
    <t>18,8:1</t>
  </si>
  <si>
    <t>37x69,7x37</t>
  </si>
  <si>
    <t>https://www.lextronic.fr/motoreducteur-52037gm-12320-76430.html</t>
  </si>
  <si>
    <t>Motoréducteur avec encodeur E20GM-1200500</t>
  </si>
  <si>
    <t>30W</t>
  </si>
  <si>
    <t>0,042Nm</t>
  </si>
  <si>
    <t>396 tr/min</t>
  </si>
  <si>
    <t>25:1</t>
  </si>
  <si>
    <t>20x58,5x20</t>
  </si>
  <si>
    <t>https://www.lextronic.fr/motoreducteur-avec-encodeur-e20gm-1200500-76773.html</t>
  </si>
  <si>
    <t>Motoréducteur 4745 (Pololu DC37)</t>
  </si>
  <si>
    <t>66W</t>
  </si>
  <si>
    <t>3,4Nm</t>
  </si>
  <si>
    <t>100 tr/min</t>
  </si>
  <si>
    <t>100:1</t>
  </si>
  <si>
    <t>37x57x37</t>
  </si>
  <si>
    <t>https://www.lextronic.fr/motoreducteur-4745-pololu-dc37-64403.html</t>
  </si>
  <si>
    <t>Servomoteurs</t>
  </si>
  <si>
    <t>Feetech FS5106B</t>
  </si>
  <si>
    <t>4,8V/6V</t>
  </si>
  <si>
    <t>5,3W</t>
  </si>
  <si>
    <t>0,58/0,49Nm</t>
  </si>
  <si>
    <t>64,8 tr/min</t>
  </si>
  <si>
    <t>rotation : 120°</t>
  </si>
  <si>
    <t>40,8x20,1x38</t>
  </si>
  <si>
    <t>https://www.gotronic.fr/art-servomoteur-analogique-fs5106b-25829.htm</t>
  </si>
  <si>
    <t>Feetech FS5109M</t>
  </si>
  <si>
    <t>9,6W</t>
  </si>
  <si>
    <t>0,88/1Nm</t>
  </si>
  <si>
    <t>64,8tr/min</t>
  </si>
  <si>
    <t>rotation : 180°</t>
  </si>
  <si>
    <t>https://www.gotronic.fr/art-servomoteur-fs5109m-25830.htm</t>
  </si>
  <si>
    <t>Feetch FS5115M</t>
  </si>
  <si>
    <t>7,2 W</t>
  </si>
  <si>
    <t>1,52/1,37Nm</t>
  </si>
  <si>
    <t>https://www.gotronic.fr/art-servomoteur-fs5115m-25831.htm</t>
  </si>
  <si>
    <t>FS5103B (icam)</t>
  </si>
  <si>
    <t>1,8W</t>
  </si>
  <si>
    <t>0,3/0,32Nm</t>
  </si>
  <si>
    <t>41x20x38</t>
  </si>
  <si>
    <t>https://www.gotronic.fr/art-servomoteur-fs5103b-25828.htm</t>
  </si>
  <si>
    <t>SG90</t>
  </si>
  <si>
    <t>4,8V</t>
  </si>
  <si>
    <t>0,16Nm</t>
  </si>
  <si>
    <t>100tr/min</t>
  </si>
  <si>
    <t>23x12.2x29</t>
  </si>
  <si>
    <t>à rotation continue</t>
  </si>
  <si>
    <t>Feetech à rotation continue FS5103R</t>
  </si>
  <si>
    <t>4,08W</t>
  </si>
  <si>
    <t>rotation: 360°</t>
  </si>
  <si>
    <t>40,8 x 20,1 x 38</t>
  </si>
  <si>
    <t>https://www.gotronic.fr/art-servomoteur-fs5103r-25839.htm</t>
  </si>
  <si>
    <t>Quantité</t>
  </si>
  <si>
    <t>Moteur</t>
  </si>
  <si>
    <t>Baterie</t>
  </si>
  <si>
    <t xml:space="preserve">Prix total : </t>
  </si>
  <si>
    <t>Capacité Baterie (en mAh)</t>
  </si>
  <si>
    <t>Durée de vie baterie (en min)</t>
  </si>
  <si>
    <r>
      <rPr>
        <rFont val="Arial"/>
        <b/>
        <color theme="1"/>
      </rPr>
      <t>NEMA17</t>
    </r>
    <r>
      <rPr>
        <rFont val="Arial"/>
        <color theme="1"/>
      </rPr>
      <t>-06 (icam)</t>
    </r>
  </si>
  <si>
    <t xml:space="preserve">Poids : </t>
  </si>
  <si>
    <r>
      <rPr>
        <rFont val="Arial"/>
        <b/>
        <color theme="1"/>
      </rPr>
      <t>NEMA8</t>
    </r>
    <r>
      <rPr>
        <rFont val="Arial"/>
        <color theme="1"/>
      </rPr>
      <t>-01</t>
    </r>
  </si>
  <si>
    <t>Ampére total :</t>
  </si>
  <si>
    <r>
      <rPr>
        <rFont val="Arial"/>
        <b/>
        <color theme="1"/>
      </rPr>
      <t>NEMA8</t>
    </r>
    <r>
      <rPr>
        <rFont val="Arial"/>
        <color theme="1"/>
      </rPr>
      <t>-02</t>
    </r>
  </si>
  <si>
    <r>
      <rPr>
        <rFont val="Arial"/>
        <b/>
        <color theme="1"/>
      </rPr>
      <t>NEMA8</t>
    </r>
    <r>
      <rPr>
        <rFont val="Arial"/>
        <color theme="1"/>
      </rPr>
      <t>-03</t>
    </r>
  </si>
  <si>
    <r>
      <rPr>
        <rFont val="Arial"/>
        <b/>
        <color rgb="FF1D1D1D"/>
      </rPr>
      <t>NEMA8-</t>
    </r>
    <r>
      <rPr>
        <rFont val="Arial"/>
        <b val="0"/>
        <color rgb="FF1D1D1D"/>
      </rPr>
      <t>05 (arbre creux)</t>
    </r>
  </si>
  <si>
    <r>
      <rPr>
        <rFont val="Arial"/>
        <b/>
        <color theme="1"/>
      </rPr>
      <t>NEMA17-</t>
    </r>
    <r>
      <rPr>
        <rFont val="Arial"/>
        <color theme="1"/>
      </rPr>
      <t>02 (arbre traversant)</t>
    </r>
  </si>
  <si>
    <r>
      <rPr>
        <rFont val="Arial"/>
        <b/>
        <color rgb="FF1D1D1D"/>
      </rPr>
      <t>NEMA11-</t>
    </r>
    <r>
      <rPr>
        <rFont val="Arial"/>
        <b val="0"/>
        <color rgb="FF1D1D1D"/>
      </rPr>
      <t>02</t>
    </r>
  </si>
  <si>
    <r>
      <rPr>
        <rFont val="Arial"/>
        <b/>
        <color rgb="FF1D1D1D"/>
      </rPr>
      <t>NEMA11-</t>
    </r>
    <r>
      <rPr>
        <rFont val="Arial"/>
        <b val="0"/>
        <color rgb="FF1D1D1D"/>
      </rPr>
      <t>01</t>
    </r>
  </si>
  <si>
    <r>
      <rPr>
        <rFont val="Arial"/>
        <b/>
        <color rgb="FF000000"/>
      </rPr>
      <t>NEMA17-</t>
    </r>
    <r>
      <rPr>
        <rFont val="Arial"/>
        <color rgb="FF000000"/>
      </rPr>
      <t>01</t>
    </r>
  </si>
  <si>
    <r>
      <rPr>
        <rFont val="Arial"/>
        <b/>
        <color theme="1"/>
      </rPr>
      <t>NEMA17-</t>
    </r>
    <r>
      <rPr>
        <rFont val="Arial"/>
        <color theme="1"/>
      </rPr>
      <t>03</t>
    </r>
  </si>
  <si>
    <t>Modèle</t>
  </si>
  <si>
    <t>Type de composant</t>
  </si>
  <si>
    <t>Compatibe avec les moteurs</t>
  </si>
  <si>
    <t>Prix</t>
  </si>
  <si>
    <t>Lien</t>
  </si>
  <si>
    <t>DRV8434A 3764</t>
  </si>
  <si>
    <t>Driver de moteur</t>
  </si>
  <si>
    <t>pas-à-pas</t>
  </si>
  <si>
    <t>https://www.gotronic.fr/art-driver-de-moteur-pas-a-pas-drv8434a-3764-35989.htm</t>
  </si>
  <si>
    <t>ULN2004A</t>
  </si>
  <si>
    <t>Réseau de transistors</t>
  </si>
  <si>
    <t>Réseau de 7 transistors - ULN2004A</t>
  </si>
  <si>
    <t>ULN2804A</t>
  </si>
  <si>
    <t>https://www.gotronic.fr/art-uln2804a-10728.htm#complte_desc</t>
  </si>
  <si>
    <t>A4988 2128</t>
  </si>
  <si>
    <t>https://www.gotronic.fr/art-driver-de-moteur-pas-a-pas-a4988-2128-21717.htm</t>
  </si>
  <si>
    <t>H L298N (à l'icam)</t>
  </si>
  <si>
    <t>Double commande</t>
  </si>
  <si>
    <t>motoréducteur et moteur à CC</t>
  </si>
  <si>
    <t>https://www.gotronic.fr/art-commande-de-2-moteurs-sbc-motodriver2-27418.htm</t>
  </si>
  <si>
    <t>Shield moteur GT1138</t>
  </si>
  <si>
    <t xml:space="preserve">Shield </t>
  </si>
  <si>
    <t>motoréducteur, pas à pas, servomoteurs</t>
  </si>
  <si>
    <t>https://www.gotronic.fr/art-shield-moteur-4-x-0-6-a-gt1138-26141.htm</t>
  </si>
  <si>
    <t>L293D</t>
  </si>
  <si>
    <t>Puce électronique</t>
  </si>
  <si>
    <t>https://www.gotronic.fr/art-l293d-14072.htm</t>
  </si>
  <si>
    <t>Composants électroniques</t>
  </si>
  <si>
    <t>Nombre</t>
  </si>
  <si>
    <t>Tension (V)</t>
  </si>
  <si>
    <t>Intensité (A)</t>
  </si>
  <si>
    <t>Puissance (W)</t>
  </si>
  <si>
    <t>STATION HÔTE</t>
  </si>
  <si>
    <t>Polulu DC37 4744</t>
  </si>
  <si>
    <t>12/6V</t>
  </si>
  <si>
    <t>5,5/3A</t>
  </si>
  <si>
    <t>65/18W</t>
  </si>
  <si>
    <t>WT341</t>
  </si>
  <si>
    <t>6V</t>
  </si>
  <si>
    <t>2A</t>
  </si>
  <si>
    <t>12W</t>
  </si>
  <si>
    <t>Lex-Solen 04</t>
  </si>
  <si>
    <t>0,6A</t>
  </si>
  <si>
    <t xml:space="preserve">17HS08-1004S </t>
  </si>
  <si>
    <t>1A</t>
  </si>
  <si>
    <t>A4988</t>
  </si>
  <si>
    <t>5,5V</t>
  </si>
  <si>
    <t xml:space="preserve">≈ </t>
  </si>
  <si>
    <t>CC H L298N</t>
  </si>
  <si>
    <t>Tension à délivrer : 12/5V</t>
  </si>
  <si>
    <t>RX433</t>
  </si>
  <si>
    <t>2mA</t>
  </si>
  <si>
    <t>10mW</t>
  </si>
  <si>
    <t>Intensité total : 8,5A</t>
  </si>
  <si>
    <t>MINI ROBOT</t>
  </si>
  <si>
    <t>Servomoteur SG90</t>
  </si>
  <si>
    <t>0,19A</t>
  </si>
  <si>
    <t>0,95W</t>
  </si>
  <si>
    <t>SY35ST28-0504A</t>
  </si>
  <si>
    <t>10V</t>
  </si>
  <si>
    <t>0,5A</t>
  </si>
  <si>
    <t>5W</t>
  </si>
  <si>
    <t>Tension à délivrer : 10/5V</t>
  </si>
  <si>
    <t>Intensité total : 0,69A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</si>
</sst>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21">
    <font>
      <sz val="10.0"/>
      <color rgb="FF000000"/>
      <name val="Arial"/>
      <scheme val="minor"/>
    </font>
    <font>
      <b/>
      <color rgb="FFF3F3F3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rgb="FF1D1D1D"/>
      <name val="Arial"/>
      <scheme val="minor"/>
    </font>
    <font>
      <color rgb="FF000000"/>
      <name val="Arial"/>
    </font>
    <font>
      <b/>
      <color rgb="FF1D1D1D"/>
      <name val="&quot;Open Sans&quot;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color rgb="FF1D1D1D"/>
      <name val="Arial"/>
    </font>
    <font>
      <sz val="9.0"/>
      <color theme="1"/>
      <name val="Arial"/>
      <scheme val="minor"/>
    </font>
    <font>
      <sz val="9.0"/>
      <color rgb="FF000000"/>
      <name val="&quot;Google Sans Mono&quot;"/>
    </font>
    <font>
      <u/>
      <color rgb="FF0000FF"/>
    </font>
    <font>
      <u/>
      <color rgb="FF0000FF"/>
    </font>
    <font>
      <u/>
      <color rgb="FF0000FF"/>
    </font>
    <font/>
  </fonts>
  <fills count="1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13253E"/>
        <bgColor rgb="FF13253E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1" fillId="3" fontId="3" numFmtId="164" xfId="0" applyAlignment="1" applyBorder="1" applyFont="1" applyNumberFormat="1">
      <alignment readingOrder="0"/>
    </xf>
    <xf borderId="1" fillId="3" fontId="4" numFmtId="0" xfId="0" applyAlignment="1" applyBorder="1" applyFont="1">
      <alignment readingOrder="0"/>
    </xf>
    <xf borderId="1" fillId="3" fontId="3" numFmtId="0" xfId="0" applyBorder="1" applyFont="1"/>
    <xf borderId="1" fillId="3" fontId="3" numFmtId="0" xfId="0" applyAlignment="1" applyBorder="1" applyFont="1">
      <alignment horizontal="center" readingOrder="0"/>
    </xf>
    <xf borderId="1" fillId="3" fontId="5" numFmtId="0" xfId="0" applyAlignment="1" applyBorder="1" applyFont="1">
      <alignment readingOrder="0"/>
    </xf>
    <xf borderId="0" fillId="3" fontId="6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1" fillId="3" fontId="7" numFmtId="0" xfId="0" applyAlignment="1" applyBorder="1" applyFont="1">
      <alignment horizontal="left" readingOrder="0"/>
    </xf>
    <xf borderId="1" fillId="3" fontId="8" numFmtId="0" xfId="0" applyAlignment="1" applyBorder="1" applyFont="1">
      <alignment horizontal="left" readingOrder="0"/>
    </xf>
    <xf borderId="0" fillId="3" fontId="7" numFmtId="0" xfId="0" applyAlignment="1" applyFont="1">
      <alignment horizontal="left" readingOrder="0"/>
    </xf>
    <xf borderId="0" fillId="3" fontId="8" numFmtId="0" xfId="0" applyAlignment="1" applyFont="1">
      <alignment horizontal="left" readingOrder="0"/>
    </xf>
    <xf borderId="1" fillId="4" fontId="2" numFmtId="0" xfId="0" applyAlignment="1" applyBorder="1" applyFill="1" applyFont="1">
      <alignment readingOrder="0"/>
    </xf>
    <xf borderId="1" fillId="4" fontId="3" numFmtId="0" xfId="0" applyAlignment="1" applyBorder="1" applyFont="1">
      <alignment readingOrder="0"/>
    </xf>
    <xf borderId="1" fillId="4" fontId="3" numFmtId="164" xfId="0" applyAlignment="1" applyBorder="1" applyFont="1" applyNumberFormat="1">
      <alignment readingOrder="0"/>
    </xf>
    <xf borderId="1" fillId="4" fontId="9" numFmtId="0" xfId="0" applyAlignment="1" applyBorder="1" applyFont="1">
      <alignment readingOrder="0"/>
    </xf>
    <xf borderId="1" fillId="4" fontId="3" numFmtId="0" xfId="0" applyBorder="1" applyFont="1"/>
    <xf borderId="0" fillId="4" fontId="3" numFmtId="0" xfId="0" applyAlignment="1" applyFont="1">
      <alignment readingOrder="0"/>
    </xf>
    <xf borderId="1" fillId="5" fontId="2" numFmtId="0" xfId="0" applyAlignment="1" applyBorder="1" applyFill="1" applyFont="1">
      <alignment readingOrder="0"/>
    </xf>
    <xf borderId="1" fillId="5" fontId="8" numFmtId="0" xfId="0" applyAlignment="1" applyBorder="1" applyFont="1">
      <alignment horizontal="left" readingOrder="0"/>
    </xf>
    <xf borderId="1" fillId="5" fontId="3" numFmtId="0" xfId="0" applyAlignment="1" applyBorder="1" applyFont="1">
      <alignment readingOrder="0"/>
    </xf>
    <xf borderId="1" fillId="5" fontId="3" numFmtId="0" xfId="0" applyBorder="1" applyFont="1"/>
    <xf borderId="1" fillId="5" fontId="3" numFmtId="164" xfId="0" applyAlignment="1" applyBorder="1" applyFont="1" applyNumberFormat="1">
      <alignment readingOrder="0"/>
    </xf>
    <xf borderId="1" fillId="5" fontId="10" numFmtId="0" xfId="0" applyAlignment="1" applyBorder="1" applyFont="1">
      <alignment readingOrder="0"/>
    </xf>
    <xf borderId="0" fillId="5" fontId="8" numFmtId="0" xfId="0" applyAlignment="1" applyFont="1">
      <alignment horizontal="left" readingOrder="0"/>
    </xf>
    <xf borderId="1" fillId="5" fontId="11" numFmtId="0" xfId="0" applyAlignment="1" applyBorder="1" applyFont="1">
      <alignment readingOrder="0"/>
    </xf>
    <xf borderId="1" fillId="5" fontId="12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/>
    </xf>
    <xf borderId="1" fillId="6" fontId="11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1" fillId="6" fontId="3" numFmtId="164" xfId="0" applyAlignment="1" applyBorder="1" applyFont="1" applyNumberFormat="1">
      <alignment readingOrder="0"/>
    </xf>
    <xf borderId="1" fillId="6" fontId="13" numFmtId="0" xfId="0" applyAlignment="1" applyBorder="1" applyFont="1">
      <alignment readingOrder="0"/>
    </xf>
    <xf borderId="2" fillId="6" fontId="3" numFmtId="0" xfId="0" applyAlignment="1" applyBorder="1" applyFont="1">
      <alignment horizontal="left" readingOrder="0"/>
    </xf>
    <xf borderId="1" fillId="6" fontId="3" numFmtId="0" xfId="0" applyBorder="1" applyFont="1"/>
    <xf borderId="0" fillId="6" fontId="14" numFmtId="0" xfId="0" applyAlignment="1" applyFont="1">
      <alignment horizontal="left" readingOrder="0"/>
    </xf>
    <xf borderId="1" fillId="6" fontId="15" numFmtId="0" xfId="0" applyAlignment="1" applyBorder="1" applyFont="1">
      <alignment readingOrder="0"/>
    </xf>
    <xf borderId="1" fillId="6" fontId="14" numFmtId="0" xfId="0" applyAlignment="1" applyBorder="1" applyFont="1">
      <alignment horizontal="left" readingOrder="0"/>
    </xf>
    <xf borderId="1" fillId="6" fontId="3" numFmtId="4" xfId="0" applyAlignment="1" applyBorder="1" applyFont="1" applyNumberFormat="1">
      <alignment readingOrder="0"/>
    </xf>
    <xf borderId="1" fillId="6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7" fontId="16" numFmtId="0" xfId="0" applyFont="1"/>
    <xf borderId="0" fillId="7" fontId="6" numFmtId="0" xfId="0" applyAlignment="1" applyFont="1">
      <alignment horizontal="left" readingOrder="0"/>
    </xf>
    <xf borderId="0" fillId="7" fontId="8" numFmtId="0" xfId="0" applyAlignment="1" applyFont="1">
      <alignment horizontal="left" readingOrder="0"/>
    </xf>
    <xf borderId="0" fillId="7" fontId="7" numFmtId="0" xfId="0" applyAlignment="1" applyFont="1">
      <alignment horizontal="left" readingOrder="0"/>
    </xf>
    <xf borderId="1" fillId="8" fontId="11" numFmtId="0" xfId="0" applyAlignment="1" applyBorder="1" applyFill="1" applyFont="1">
      <alignment readingOrder="0"/>
    </xf>
    <xf borderId="1" fillId="9" fontId="3" numFmtId="0" xfId="0" applyAlignment="1" applyBorder="1" applyFill="1" applyFont="1">
      <alignment readingOrder="0"/>
    </xf>
    <xf borderId="1" fillId="9" fontId="3" numFmtId="164" xfId="0" applyAlignment="1" applyBorder="1" applyFont="1" applyNumberFormat="1">
      <alignment readingOrder="0"/>
    </xf>
    <xf borderId="1" fillId="9" fontId="17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18" numFmtId="0" xfId="0" applyAlignment="1" applyBorder="1" applyFont="1">
      <alignment readingOrder="0"/>
    </xf>
    <xf borderId="1" fillId="0" fontId="19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10" fontId="3" numFmtId="0" xfId="0" applyFill="1" applyFont="1"/>
    <xf borderId="3" fillId="8" fontId="11" numFmtId="0" xfId="0" applyAlignment="1" applyBorder="1" applyFont="1">
      <alignment horizontal="center" readingOrder="0"/>
    </xf>
    <xf borderId="4" fillId="0" fontId="20" numFmtId="0" xfId="0" applyBorder="1" applyFont="1"/>
    <xf borderId="5" fillId="0" fontId="20" numFmtId="0" xfId="0" applyBorder="1" applyFont="1"/>
    <xf borderId="1" fillId="0" fontId="3" numFmtId="0" xfId="0" applyAlignment="1" applyBorder="1" applyFont="1">
      <alignment readingOrder="0"/>
    </xf>
    <xf borderId="0" fillId="0" fontId="0" numFmtId="0" xfId="0" applyAlignment="1" applyFont="1">
      <alignment readingOrder="0"/>
    </xf>
    <xf borderId="0" fillId="10" fontId="3" numFmtId="0" xfId="0" applyAlignment="1" applyFont="1">
      <alignment readingOrder="0"/>
    </xf>
    <xf borderId="1" fillId="11" fontId="3" numFmtId="0" xfId="0" applyAlignment="1" applyBorder="1" applyFill="1" applyFont="1">
      <alignment readingOrder="0"/>
    </xf>
    <xf borderId="1" fillId="11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tronic.fr/art-servomoteur-analogique-fs5106b-25829.htm" TargetMode="External"/><Relationship Id="rId22" Type="http://schemas.openxmlformats.org/officeDocument/2006/relationships/hyperlink" Target="https://www.gotronic.fr/art-servomoteur-fs5115m-25831.htm" TargetMode="External"/><Relationship Id="rId21" Type="http://schemas.openxmlformats.org/officeDocument/2006/relationships/hyperlink" Target="https://www.gotronic.fr/art-servomoteur-fs5109m-25830.htm" TargetMode="External"/><Relationship Id="rId24" Type="http://schemas.openxmlformats.org/officeDocument/2006/relationships/hyperlink" Target="https://www.gotronic.fr/art-servomoteur-fs5103r-25839.htm" TargetMode="External"/><Relationship Id="rId23" Type="http://schemas.openxmlformats.org/officeDocument/2006/relationships/hyperlink" Target="https://www.gotronic.fr/art-servomoteur-fs5103b-25828.htm" TargetMode="External"/><Relationship Id="rId1" Type="http://schemas.openxmlformats.org/officeDocument/2006/relationships/hyperlink" Target="https://www.lextronic.fr/moteur-pas-a-pas-de-precision-nema17-64265.html" TargetMode="External"/><Relationship Id="rId2" Type="http://schemas.openxmlformats.org/officeDocument/2006/relationships/hyperlink" Target="https://www.lextronic.fr/mini-moteur-pas-a-pas-nema8-01-64823.html" TargetMode="External"/><Relationship Id="rId3" Type="http://schemas.openxmlformats.org/officeDocument/2006/relationships/hyperlink" Target="https://www.lextronic.fr/mini-moteur-pas-a-pas-nema8-02-64824.html" TargetMode="External"/><Relationship Id="rId4" Type="http://schemas.openxmlformats.org/officeDocument/2006/relationships/hyperlink" Target="https://www.lextronic.fr/mini-moteur-pas-a-pas-nema8-03-64837.html" TargetMode="External"/><Relationship Id="rId9" Type="http://schemas.openxmlformats.org/officeDocument/2006/relationships/hyperlink" Target="https://www.lextronic.fr/moteur-pas-a-pas-de-precision-nema17-76781.html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lextronic.fr/moteur-pas-a-pas-nema8-05hs-a-arbre-creux-64831.html" TargetMode="External"/><Relationship Id="rId6" Type="http://schemas.openxmlformats.org/officeDocument/2006/relationships/hyperlink" Target="https://www.lextronic.fr/moteur-pas-a-pas-nema17-arbre-traversant-39848.html" TargetMode="External"/><Relationship Id="rId7" Type="http://schemas.openxmlformats.org/officeDocument/2006/relationships/hyperlink" Target="https://www.lextronic.fr/moteur-pas-a-pas-nema11-02-64829.html" TargetMode="External"/><Relationship Id="rId8" Type="http://schemas.openxmlformats.org/officeDocument/2006/relationships/hyperlink" Target="https://www.lextronic.fr/moteur-pas-a-pas-nema11-01-64835.html" TargetMode="External"/><Relationship Id="rId11" Type="http://schemas.openxmlformats.org/officeDocument/2006/relationships/hyperlink" Target="https://www.lextronic.fr/moteur-pas-a-pas-nema23-05-64825.html" TargetMode="External"/><Relationship Id="rId10" Type="http://schemas.openxmlformats.org/officeDocument/2006/relationships/hyperlink" Target="https://www.lextronic.fr/moteur-pas-a-pas-nema17-03-64826.html" TargetMode="External"/><Relationship Id="rId13" Type="http://schemas.openxmlformats.org/officeDocument/2006/relationships/hyperlink" Target="https://www.lextronic.fr/solenoide-push-12-v-150-g-58747.html" TargetMode="External"/><Relationship Id="rId12" Type="http://schemas.openxmlformats.org/officeDocument/2006/relationships/hyperlink" Target="https://www.lextronic.fr/moteur-pas-a-pas-nema14-02-64834.html" TargetMode="External"/><Relationship Id="rId15" Type="http://schemas.openxmlformats.org/officeDocument/2006/relationships/hyperlink" Target="https://www.lextronic.fr/solenoide-push-12-v-grande-course-58751.html" TargetMode="External"/><Relationship Id="rId14" Type="http://schemas.openxmlformats.org/officeDocument/2006/relationships/hyperlink" Target="https://www.lextronic.fr/solenoide-push-pull-12-v-course-8-mm-58749.html" TargetMode="External"/><Relationship Id="rId17" Type="http://schemas.openxmlformats.org/officeDocument/2006/relationships/hyperlink" Target="https://www.lextronic.fr/motoreducteur-52037gm-12320-76430.html" TargetMode="External"/><Relationship Id="rId16" Type="http://schemas.openxmlformats.org/officeDocument/2006/relationships/hyperlink" Target="https://www.lextronic.fr/motoreducteur-37025gm-12280-76344.html" TargetMode="External"/><Relationship Id="rId19" Type="http://schemas.openxmlformats.org/officeDocument/2006/relationships/hyperlink" Target="https://www.lextronic.fr/motoreducteur-4745-pololu-dc37-64403.html" TargetMode="External"/><Relationship Id="rId18" Type="http://schemas.openxmlformats.org/officeDocument/2006/relationships/hyperlink" Target="https://www.lextronic.fr/motoreducteur-avec-encodeur-e20gm-1200500-76773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tronic.fr/art-driver-de-moteur-pas-a-pas-drv8434a-3764-35989.htm" TargetMode="External"/><Relationship Id="rId2" Type="http://schemas.openxmlformats.org/officeDocument/2006/relationships/hyperlink" Target="https://www.gotronic.fr/art-uln2004a-10726.htm" TargetMode="External"/><Relationship Id="rId3" Type="http://schemas.openxmlformats.org/officeDocument/2006/relationships/hyperlink" Target="https://www.gotronic.fr/art-uln2804a-10728.htm" TargetMode="External"/><Relationship Id="rId4" Type="http://schemas.openxmlformats.org/officeDocument/2006/relationships/hyperlink" Target="https://www.gotronic.fr/art-driver-de-moteur-pas-a-pas-a4988-2128-21717.htm" TargetMode="External"/><Relationship Id="rId5" Type="http://schemas.openxmlformats.org/officeDocument/2006/relationships/hyperlink" Target="https://www.gotronic.fr/art-commande-de-2-moteurs-sbc-motodriver2-27418.htm" TargetMode="External"/><Relationship Id="rId6" Type="http://schemas.openxmlformats.org/officeDocument/2006/relationships/hyperlink" Target="https://www.gotronic.fr/art-shield-moteur-4-x-0-6-a-gt1138-26141.htm" TargetMode="External"/><Relationship Id="rId7" Type="http://schemas.openxmlformats.org/officeDocument/2006/relationships/hyperlink" Target="https://www.gotronic.fr/art-l293d-14072.htm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9.5"/>
    <col customWidth="1" min="3" max="3" width="13.38"/>
    <col customWidth="1" min="4" max="4" width="14.88"/>
    <col customWidth="1" min="5" max="5" width="10.75"/>
    <col customWidth="1" min="6" max="6" width="13.88"/>
    <col customWidth="1" min="7" max="8" width="15.0"/>
    <col customWidth="1" min="9" max="9" width="11.13"/>
    <col customWidth="1" min="10" max="10" width="18.75"/>
    <col customWidth="1" min="11" max="11" width="9.75"/>
    <col customWidth="1" min="12" max="12" width="6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3" t="s">
        <v>14</v>
      </c>
      <c r="D2" s="3">
        <v>2.0</v>
      </c>
      <c r="E2" s="3" t="s">
        <v>15</v>
      </c>
      <c r="F2" s="3" t="s">
        <v>16</v>
      </c>
      <c r="G2" s="3" t="s">
        <v>17</v>
      </c>
      <c r="H2" s="3" t="s">
        <v>18</v>
      </c>
      <c r="I2" s="3">
        <v>420.0</v>
      </c>
      <c r="J2" s="3" t="s">
        <v>19</v>
      </c>
      <c r="K2" s="4">
        <v>28.9</v>
      </c>
      <c r="L2" s="5" t="s">
        <v>20</v>
      </c>
    </row>
    <row r="3">
      <c r="A3" s="6"/>
      <c r="B3" s="3" t="s">
        <v>21</v>
      </c>
      <c r="C3" s="3" t="s">
        <v>22</v>
      </c>
      <c r="D3" s="3">
        <v>0.6</v>
      </c>
      <c r="E3" s="3" t="s">
        <v>23</v>
      </c>
      <c r="F3" s="3" t="s">
        <v>24</v>
      </c>
      <c r="G3" s="7" t="s">
        <v>25</v>
      </c>
      <c r="H3" s="3" t="s">
        <v>18</v>
      </c>
      <c r="I3" s="3">
        <v>60.0</v>
      </c>
      <c r="J3" s="3" t="s">
        <v>26</v>
      </c>
      <c r="K3" s="4">
        <v>23.99</v>
      </c>
      <c r="L3" s="8" t="s">
        <v>27</v>
      </c>
    </row>
    <row r="4">
      <c r="A4" s="6"/>
      <c r="B4" s="3" t="s">
        <v>28</v>
      </c>
      <c r="C4" s="3" t="s">
        <v>29</v>
      </c>
      <c r="D4" s="3">
        <v>0.8</v>
      </c>
      <c r="E4" s="3" t="s">
        <v>30</v>
      </c>
      <c r="F4" s="3" t="s">
        <v>31</v>
      </c>
      <c r="G4" s="7" t="s">
        <v>25</v>
      </c>
      <c r="H4" s="3" t="s">
        <v>18</v>
      </c>
      <c r="I4" s="3">
        <v>80.0</v>
      </c>
      <c r="J4" s="3" t="s">
        <v>32</v>
      </c>
      <c r="K4" s="4">
        <v>24.99</v>
      </c>
      <c r="L4" s="8" t="s">
        <v>33</v>
      </c>
    </row>
    <row r="5">
      <c r="A5" s="6"/>
      <c r="B5" s="3" t="s">
        <v>34</v>
      </c>
      <c r="C5" s="3" t="s">
        <v>35</v>
      </c>
      <c r="D5" s="3">
        <v>0.6</v>
      </c>
      <c r="E5" s="3" t="s">
        <v>36</v>
      </c>
      <c r="F5" s="3" t="s">
        <v>37</v>
      </c>
      <c r="G5" s="7" t="s">
        <v>25</v>
      </c>
      <c r="H5" s="3" t="s">
        <v>18</v>
      </c>
      <c r="I5" s="3">
        <v>60.0</v>
      </c>
      <c r="J5" s="3" t="s">
        <v>38</v>
      </c>
      <c r="K5" s="4">
        <v>23.99</v>
      </c>
      <c r="L5" s="8" t="s">
        <v>39</v>
      </c>
    </row>
    <row r="6">
      <c r="A6" s="6"/>
      <c r="B6" s="9" t="s">
        <v>40</v>
      </c>
      <c r="C6" s="3" t="s">
        <v>22</v>
      </c>
      <c r="D6" s="3">
        <v>0.6</v>
      </c>
      <c r="E6" s="3" t="s">
        <v>23</v>
      </c>
      <c r="F6" s="3" t="s">
        <v>24</v>
      </c>
      <c r="G6" s="7" t="s">
        <v>25</v>
      </c>
      <c r="H6" s="3" t="s">
        <v>18</v>
      </c>
      <c r="I6" s="3">
        <v>60.0</v>
      </c>
      <c r="J6" s="3" t="s">
        <v>41</v>
      </c>
      <c r="K6" s="4">
        <v>29.99</v>
      </c>
      <c r="L6" s="8" t="s">
        <v>42</v>
      </c>
    </row>
    <row r="7">
      <c r="A7" s="6"/>
      <c r="B7" s="3" t="s">
        <v>43</v>
      </c>
      <c r="C7" s="3" t="s">
        <v>44</v>
      </c>
      <c r="D7" s="3">
        <v>1.68</v>
      </c>
      <c r="E7" s="3" t="s">
        <v>45</v>
      </c>
      <c r="F7" s="10" t="s">
        <v>46</v>
      </c>
      <c r="G7" s="7" t="s">
        <v>47</v>
      </c>
      <c r="H7" s="11" t="s">
        <v>18</v>
      </c>
      <c r="I7" s="3">
        <v>400.0</v>
      </c>
      <c r="J7" s="10" t="s">
        <v>48</v>
      </c>
      <c r="K7" s="4">
        <v>32.9</v>
      </c>
      <c r="L7" s="8" t="s">
        <v>49</v>
      </c>
    </row>
    <row r="8">
      <c r="A8" s="6"/>
      <c r="B8" s="12" t="s">
        <v>50</v>
      </c>
      <c r="C8" s="3" t="s">
        <v>51</v>
      </c>
      <c r="D8" s="3">
        <v>0.67</v>
      </c>
      <c r="E8" s="3" t="s">
        <v>52</v>
      </c>
      <c r="F8" s="3" t="s">
        <v>53</v>
      </c>
      <c r="G8" s="3" t="s">
        <v>54</v>
      </c>
      <c r="H8" s="13" t="s">
        <v>18</v>
      </c>
      <c r="I8" s="3">
        <v>200.0</v>
      </c>
      <c r="J8" s="3" t="s">
        <v>55</v>
      </c>
      <c r="K8" s="4">
        <v>24.99</v>
      </c>
      <c r="L8" s="5" t="s">
        <v>56</v>
      </c>
    </row>
    <row r="9">
      <c r="A9" s="6"/>
      <c r="B9" s="14" t="s">
        <v>57</v>
      </c>
      <c r="C9" s="3" t="s">
        <v>58</v>
      </c>
      <c r="D9" s="3">
        <v>0.42</v>
      </c>
      <c r="E9" s="3" t="s">
        <v>59</v>
      </c>
      <c r="F9" s="3" t="s">
        <v>60</v>
      </c>
      <c r="G9" s="7" t="s">
        <v>47</v>
      </c>
      <c r="H9" s="11" t="s">
        <v>18</v>
      </c>
      <c r="I9" s="3">
        <v>120.0</v>
      </c>
      <c r="J9" s="3" t="s">
        <v>61</v>
      </c>
      <c r="K9" s="4">
        <v>20.49</v>
      </c>
      <c r="L9" s="8" t="s">
        <v>62</v>
      </c>
    </row>
    <row r="10">
      <c r="A10" s="6"/>
      <c r="B10" s="11" t="s">
        <v>63</v>
      </c>
      <c r="C10" s="3" t="s">
        <v>44</v>
      </c>
      <c r="D10" s="3">
        <v>1.86</v>
      </c>
      <c r="E10" s="3" t="s">
        <v>64</v>
      </c>
      <c r="F10" s="3" t="s">
        <v>65</v>
      </c>
      <c r="G10" s="3" t="s">
        <v>17</v>
      </c>
      <c r="H10" s="11" t="s">
        <v>18</v>
      </c>
      <c r="I10" s="3">
        <v>365.0</v>
      </c>
      <c r="J10" s="10" t="s">
        <v>48</v>
      </c>
      <c r="K10" s="4">
        <v>30.0</v>
      </c>
      <c r="L10" s="8" t="s">
        <v>66</v>
      </c>
    </row>
    <row r="11">
      <c r="A11" s="6"/>
      <c r="B11" s="3" t="s">
        <v>67</v>
      </c>
      <c r="C11" s="3" t="s">
        <v>58</v>
      </c>
      <c r="D11" s="3">
        <v>1.2</v>
      </c>
      <c r="E11" s="3" t="s">
        <v>68</v>
      </c>
      <c r="F11" s="3" t="s">
        <v>69</v>
      </c>
      <c r="G11" s="7" t="s">
        <v>25</v>
      </c>
      <c r="H11" s="11" t="s">
        <v>18</v>
      </c>
      <c r="I11" s="3">
        <v>150.0</v>
      </c>
      <c r="J11" s="3" t="s">
        <v>70</v>
      </c>
      <c r="K11" s="4">
        <v>13.5</v>
      </c>
      <c r="L11" s="8" t="s">
        <v>71</v>
      </c>
    </row>
    <row r="12">
      <c r="A12" s="6"/>
      <c r="B12" s="3" t="s">
        <v>72</v>
      </c>
      <c r="C12" s="3" t="s">
        <v>51</v>
      </c>
      <c r="D12" s="3">
        <v>1.0</v>
      </c>
      <c r="E12" s="3" t="s">
        <v>73</v>
      </c>
      <c r="F12" s="3" t="s">
        <v>74</v>
      </c>
      <c r="G12" s="7" t="s">
        <v>25</v>
      </c>
      <c r="H12" s="11" t="s">
        <v>18</v>
      </c>
      <c r="I12" s="3">
        <v>1000.0</v>
      </c>
      <c r="J12" s="3" t="s">
        <v>75</v>
      </c>
      <c r="K12" s="4">
        <v>34.99</v>
      </c>
      <c r="L12" s="8" t="s">
        <v>76</v>
      </c>
    </row>
    <row r="13">
      <c r="A13" s="6"/>
      <c r="B13" s="3" t="s">
        <v>77</v>
      </c>
      <c r="C13" s="3" t="s">
        <v>78</v>
      </c>
      <c r="D13" s="3">
        <v>0.75</v>
      </c>
      <c r="E13" s="3" t="s">
        <v>79</v>
      </c>
      <c r="F13" s="3" t="s">
        <v>80</v>
      </c>
      <c r="G13" s="7" t="s">
        <v>25</v>
      </c>
      <c r="H13" s="11" t="s">
        <v>18</v>
      </c>
      <c r="I13" s="3">
        <v>180.0</v>
      </c>
      <c r="J13" s="3" t="s">
        <v>81</v>
      </c>
      <c r="K13" s="4">
        <v>22.9</v>
      </c>
      <c r="L13" s="8" t="s">
        <v>82</v>
      </c>
    </row>
    <row r="14">
      <c r="A14" s="15" t="s">
        <v>83</v>
      </c>
      <c r="B14" s="16" t="s">
        <v>84</v>
      </c>
      <c r="C14" s="16" t="s">
        <v>85</v>
      </c>
      <c r="D14" s="16">
        <v>0.5</v>
      </c>
      <c r="E14" s="16" t="s">
        <v>68</v>
      </c>
      <c r="F14" s="16" t="s">
        <v>86</v>
      </c>
      <c r="G14" s="16" t="s">
        <v>87</v>
      </c>
      <c r="H14" s="16" t="s">
        <v>47</v>
      </c>
      <c r="I14" s="16">
        <v>15.0</v>
      </c>
      <c r="J14" s="16" t="s">
        <v>88</v>
      </c>
      <c r="K14" s="17">
        <v>10.2</v>
      </c>
      <c r="L14" s="18" t="s">
        <v>89</v>
      </c>
    </row>
    <row r="15">
      <c r="A15" s="19"/>
      <c r="B15" s="16" t="s">
        <v>90</v>
      </c>
      <c r="C15" s="16" t="s">
        <v>85</v>
      </c>
      <c r="D15" s="16">
        <v>0.6</v>
      </c>
      <c r="E15" s="16" t="s">
        <v>15</v>
      </c>
      <c r="F15" s="16" t="s">
        <v>91</v>
      </c>
      <c r="G15" s="16" t="s">
        <v>92</v>
      </c>
      <c r="H15" s="16" t="s">
        <v>47</v>
      </c>
      <c r="I15" s="16">
        <v>45.0</v>
      </c>
      <c r="J15" s="16" t="s">
        <v>93</v>
      </c>
      <c r="K15" s="17">
        <v>11.4</v>
      </c>
      <c r="L15" s="18" t="s">
        <v>94</v>
      </c>
    </row>
    <row r="16">
      <c r="A16" s="19"/>
      <c r="B16" s="20" t="s">
        <v>95</v>
      </c>
      <c r="C16" s="16" t="s">
        <v>85</v>
      </c>
      <c r="D16" s="16">
        <v>0.63</v>
      </c>
      <c r="E16" s="16" t="s">
        <v>96</v>
      </c>
      <c r="F16" s="16" t="s">
        <v>97</v>
      </c>
      <c r="G16" s="16" t="s">
        <v>98</v>
      </c>
      <c r="H16" s="16" t="s">
        <v>47</v>
      </c>
      <c r="I16" s="16">
        <v>215.0</v>
      </c>
      <c r="J16" s="16" t="s">
        <v>99</v>
      </c>
      <c r="K16" s="17">
        <v>19.19</v>
      </c>
      <c r="L16" s="18" t="s">
        <v>100</v>
      </c>
    </row>
    <row r="17">
      <c r="A17" s="21" t="s">
        <v>101</v>
      </c>
      <c r="B17" s="22" t="s">
        <v>102</v>
      </c>
      <c r="C17" s="23" t="s">
        <v>103</v>
      </c>
      <c r="D17" s="23">
        <v>1.2</v>
      </c>
      <c r="E17" s="23" t="s">
        <v>104</v>
      </c>
      <c r="F17" s="23" t="s">
        <v>105</v>
      </c>
      <c r="G17" s="23" t="s">
        <v>106</v>
      </c>
      <c r="H17" s="23" t="s">
        <v>107</v>
      </c>
      <c r="I17" s="24"/>
      <c r="J17" s="23" t="s">
        <v>108</v>
      </c>
      <c r="K17" s="25">
        <v>16.2</v>
      </c>
      <c r="L17" s="26" t="s">
        <v>109</v>
      </c>
    </row>
    <row r="18">
      <c r="A18" s="24"/>
      <c r="B18" s="22" t="s">
        <v>110</v>
      </c>
      <c r="C18" s="23" t="s">
        <v>103</v>
      </c>
      <c r="D18" s="23">
        <v>1.5</v>
      </c>
      <c r="E18" s="23" t="s">
        <v>111</v>
      </c>
      <c r="F18" s="23" t="s">
        <v>112</v>
      </c>
      <c r="G18" s="23" t="s">
        <v>113</v>
      </c>
      <c r="H18" s="23" t="s">
        <v>114</v>
      </c>
      <c r="I18" s="24"/>
      <c r="J18" s="23" t="s">
        <v>115</v>
      </c>
      <c r="K18" s="25">
        <v>20.4</v>
      </c>
      <c r="L18" s="26" t="s">
        <v>116</v>
      </c>
    </row>
    <row r="19">
      <c r="A19" s="24"/>
      <c r="B19" s="27" t="s">
        <v>117</v>
      </c>
      <c r="C19" s="23" t="s">
        <v>103</v>
      </c>
      <c r="D19" s="23">
        <v>2.5</v>
      </c>
      <c r="E19" s="23" t="s">
        <v>118</v>
      </c>
      <c r="F19" s="23" t="s">
        <v>119</v>
      </c>
      <c r="G19" s="23" t="s">
        <v>120</v>
      </c>
      <c r="H19" s="23" t="s">
        <v>121</v>
      </c>
      <c r="I19" s="24"/>
      <c r="J19" s="23" t="s">
        <v>122</v>
      </c>
      <c r="K19" s="25">
        <v>19.21</v>
      </c>
      <c r="L19" s="26" t="s">
        <v>123</v>
      </c>
    </row>
    <row r="20">
      <c r="A20" s="24"/>
      <c r="B20" s="28" t="s">
        <v>124</v>
      </c>
      <c r="C20" s="23" t="s">
        <v>103</v>
      </c>
      <c r="D20" s="23">
        <v>5.5</v>
      </c>
      <c r="E20" s="23" t="s">
        <v>125</v>
      </c>
      <c r="F20" s="23" t="s">
        <v>126</v>
      </c>
      <c r="G20" s="23" t="s">
        <v>127</v>
      </c>
      <c r="H20" s="23" t="s">
        <v>128</v>
      </c>
      <c r="I20" s="23">
        <v>195.0</v>
      </c>
      <c r="J20" s="23" t="s">
        <v>129</v>
      </c>
      <c r="K20" s="25">
        <v>40.8</v>
      </c>
      <c r="L20" s="29" t="s">
        <v>130</v>
      </c>
    </row>
    <row r="21">
      <c r="A21" s="30" t="s">
        <v>131</v>
      </c>
      <c r="B21" s="31" t="s">
        <v>132</v>
      </c>
      <c r="C21" s="32" t="s">
        <v>133</v>
      </c>
      <c r="D21" s="32">
        <v>0.9</v>
      </c>
      <c r="E21" s="32" t="s">
        <v>134</v>
      </c>
      <c r="F21" s="32" t="s">
        <v>135</v>
      </c>
      <c r="G21" s="32" t="s">
        <v>136</v>
      </c>
      <c r="H21" s="32" t="s">
        <v>137</v>
      </c>
      <c r="I21" s="32">
        <v>40.0</v>
      </c>
      <c r="J21" s="32" t="s">
        <v>138</v>
      </c>
      <c r="K21" s="33">
        <v>10.4</v>
      </c>
      <c r="L21" s="34" t="s">
        <v>139</v>
      </c>
    </row>
    <row r="22">
      <c r="A22" s="35"/>
      <c r="B22" s="31" t="s">
        <v>140</v>
      </c>
      <c r="C22" s="32" t="s">
        <v>133</v>
      </c>
      <c r="D22" s="32">
        <v>1.6</v>
      </c>
      <c r="E22" s="32" t="s">
        <v>141</v>
      </c>
      <c r="F22" s="32" t="s">
        <v>142</v>
      </c>
      <c r="G22" s="32" t="s">
        <v>143</v>
      </c>
      <c r="H22" s="32" t="s">
        <v>144</v>
      </c>
      <c r="I22" s="32">
        <v>56.0</v>
      </c>
      <c r="J22" s="32" t="s">
        <v>138</v>
      </c>
      <c r="K22" s="33">
        <v>16.5</v>
      </c>
      <c r="L22" s="34" t="s">
        <v>145</v>
      </c>
    </row>
    <row r="23">
      <c r="A23" s="36"/>
      <c r="B23" s="37" t="s">
        <v>146</v>
      </c>
      <c r="C23" s="32" t="s">
        <v>133</v>
      </c>
      <c r="D23" s="32">
        <v>1.2</v>
      </c>
      <c r="E23" s="38" t="s">
        <v>147</v>
      </c>
      <c r="F23" s="32" t="s">
        <v>148</v>
      </c>
      <c r="G23" s="32" t="s">
        <v>143</v>
      </c>
      <c r="H23" s="32" t="s">
        <v>144</v>
      </c>
      <c r="I23" s="32">
        <v>56.0</v>
      </c>
      <c r="J23" s="32" t="s">
        <v>138</v>
      </c>
      <c r="K23" s="33">
        <v>19.5</v>
      </c>
      <c r="L23" s="34" t="s">
        <v>149</v>
      </c>
    </row>
    <row r="24">
      <c r="A24" s="36"/>
      <c r="B24" s="39" t="s">
        <v>150</v>
      </c>
      <c r="C24" s="32" t="s">
        <v>133</v>
      </c>
      <c r="D24" s="40">
        <v>0.18</v>
      </c>
      <c r="E24" s="38" t="s">
        <v>151</v>
      </c>
      <c r="F24" s="32" t="s">
        <v>152</v>
      </c>
      <c r="G24" s="32" t="s">
        <v>143</v>
      </c>
      <c r="H24" s="32" t="s">
        <v>144</v>
      </c>
      <c r="I24" s="32">
        <v>36.0</v>
      </c>
      <c r="J24" s="32" t="s">
        <v>153</v>
      </c>
      <c r="K24" s="33">
        <v>8.85</v>
      </c>
      <c r="L24" s="34" t="s">
        <v>154</v>
      </c>
    </row>
    <row r="25">
      <c r="A25" s="36"/>
      <c r="B25" s="39" t="s">
        <v>155</v>
      </c>
      <c r="C25" s="32" t="s">
        <v>156</v>
      </c>
      <c r="D25" s="40"/>
      <c r="E25" s="38"/>
      <c r="F25" s="32" t="s">
        <v>157</v>
      </c>
      <c r="G25" s="32" t="s">
        <v>158</v>
      </c>
      <c r="H25" s="32" t="s">
        <v>144</v>
      </c>
      <c r="I25" s="32">
        <v>9.0</v>
      </c>
      <c r="J25" s="32" t="s">
        <v>159</v>
      </c>
      <c r="K25" s="33">
        <v>3.6</v>
      </c>
      <c r="L25" s="32"/>
    </row>
    <row r="26">
      <c r="A26" s="41" t="s">
        <v>160</v>
      </c>
      <c r="B26" s="31" t="s">
        <v>161</v>
      </c>
      <c r="C26" s="32" t="s">
        <v>133</v>
      </c>
      <c r="D26" s="32">
        <v>0.7</v>
      </c>
      <c r="E26" s="32" t="s">
        <v>162</v>
      </c>
      <c r="F26" s="32" t="s">
        <v>152</v>
      </c>
      <c r="G26" s="32" t="s">
        <v>143</v>
      </c>
      <c r="H26" s="32" t="s">
        <v>163</v>
      </c>
      <c r="I26" s="32">
        <v>36.0</v>
      </c>
      <c r="J26" s="32" t="s">
        <v>164</v>
      </c>
      <c r="K26" s="33">
        <v>10.5</v>
      </c>
      <c r="L26" s="34" t="s">
        <v>165</v>
      </c>
    </row>
  </sheetData>
  <customSheetViews>
    <customSheetView guid="{76D793F5-FC28-46FF-9607-6BB8BF0E78C0}" filter="1" showAutoFilter="1">
      <autoFilter ref="$A$1:$G$16"/>
    </customSheetView>
  </customSheetView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6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8" max="8" width="21.5"/>
    <col customWidth="1" min="9" max="9" width="23.13"/>
  </cols>
  <sheetData>
    <row r="1">
      <c r="A1" s="42" t="s">
        <v>166</v>
      </c>
      <c r="B1" s="43" t="s">
        <v>167</v>
      </c>
      <c r="C1" s="42" t="s">
        <v>168</v>
      </c>
      <c r="E1" s="42" t="s">
        <v>169</v>
      </c>
      <c r="F1" s="44">
        <f>SUMPRODUCT(A2:A11*'LISTE MOTEUR'!K2:K11)</f>
        <v>28.9</v>
      </c>
      <c r="H1" s="42" t="s">
        <v>170</v>
      </c>
      <c r="I1" s="42" t="s">
        <v>171</v>
      </c>
    </row>
    <row r="2">
      <c r="A2" s="42">
        <v>1.0</v>
      </c>
      <c r="B2" s="43" t="s">
        <v>172</v>
      </c>
      <c r="C2" s="45"/>
      <c r="D2" s="45"/>
      <c r="E2" s="42" t="s">
        <v>173</v>
      </c>
      <c r="F2" s="46">
        <f>SUMPRODUCT('LISTE MOTEUR'!I2:I11*A2:A11)</f>
        <v>420</v>
      </c>
      <c r="H2" s="42">
        <v>2500.0</v>
      </c>
      <c r="I2" s="44">
        <f>H2/(F5*10^3)*60</f>
        <v>6.818181818</v>
      </c>
    </row>
    <row r="3">
      <c r="A3" s="42">
        <v>0.0</v>
      </c>
      <c r="B3" s="43" t="s">
        <v>174</v>
      </c>
      <c r="C3" s="45"/>
      <c r="D3" s="45"/>
      <c r="E3" s="42" t="s">
        <v>175</v>
      </c>
      <c r="F3" s="44">
        <f>SUMPRODUCT(A2:A11*'LISTE MOTEUR'!D2:D11)</f>
        <v>2</v>
      </c>
    </row>
    <row r="4">
      <c r="A4" s="42">
        <v>0.0</v>
      </c>
      <c r="B4" s="43" t="s">
        <v>176</v>
      </c>
      <c r="C4" s="45"/>
      <c r="D4" s="45"/>
    </row>
    <row r="5">
      <c r="A5" s="42">
        <v>0.0</v>
      </c>
      <c r="B5" s="43" t="s">
        <v>177</v>
      </c>
      <c r="C5" s="45"/>
      <c r="D5" s="45"/>
      <c r="F5" s="42">
        <v>22.0</v>
      </c>
    </row>
    <row r="6">
      <c r="A6" s="42">
        <v>0.0</v>
      </c>
      <c r="B6" s="47" t="s">
        <v>178</v>
      </c>
      <c r="C6" s="45"/>
      <c r="D6" s="45"/>
    </row>
    <row r="7">
      <c r="A7" s="42">
        <v>0.0</v>
      </c>
      <c r="B7" s="43" t="s">
        <v>179</v>
      </c>
      <c r="C7" s="45"/>
      <c r="D7" s="45"/>
    </row>
    <row r="8">
      <c r="A8" s="42">
        <v>0.0</v>
      </c>
      <c r="B8" s="48" t="s">
        <v>180</v>
      </c>
      <c r="C8" s="45"/>
      <c r="D8" s="45"/>
    </row>
    <row r="9">
      <c r="A9" s="42">
        <v>0.0</v>
      </c>
      <c r="B9" s="48" t="s">
        <v>181</v>
      </c>
      <c r="C9" s="45"/>
      <c r="D9" s="45"/>
    </row>
    <row r="10">
      <c r="A10" s="42">
        <v>0.0</v>
      </c>
      <c r="B10" s="49" t="s">
        <v>182</v>
      </c>
      <c r="C10" s="45"/>
      <c r="D10" s="45"/>
    </row>
    <row r="11">
      <c r="A11" s="42">
        <v>0.0</v>
      </c>
      <c r="B11" s="43" t="s">
        <v>183</v>
      </c>
      <c r="C11" s="45"/>
      <c r="D11" s="4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8.63"/>
    <col customWidth="1" min="3" max="3" width="30.75"/>
    <col customWidth="1" min="5" max="5" width="62.25"/>
  </cols>
  <sheetData>
    <row r="1">
      <c r="A1" s="50" t="s">
        <v>184</v>
      </c>
      <c r="B1" s="50" t="s">
        <v>185</v>
      </c>
      <c r="C1" s="50" t="s">
        <v>186</v>
      </c>
      <c r="D1" s="50" t="s">
        <v>187</v>
      </c>
      <c r="E1" s="50" t="s">
        <v>188</v>
      </c>
    </row>
    <row r="2">
      <c r="A2" s="51" t="s">
        <v>189</v>
      </c>
      <c r="B2" s="51" t="s">
        <v>190</v>
      </c>
      <c r="C2" s="51" t="s">
        <v>191</v>
      </c>
      <c r="D2" s="52">
        <v>15.25</v>
      </c>
      <c r="E2" s="53" t="s">
        <v>192</v>
      </c>
    </row>
    <row r="3">
      <c r="A3" s="54" t="s">
        <v>193</v>
      </c>
      <c r="B3" s="54" t="s">
        <v>194</v>
      </c>
      <c r="C3" s="54" t="s">
        <v>191</v>
      </c>
      <c r="D3" s="55">
        <v>0.7</v>
      </c>
      <c r="E3" s="56" t="s">
        <v>195</v>
      </c>
    </row>
    <row r="4">
      <c r="A4" s="51" t="s">
        <v>196</v>
      </c>
      <c r="B4" s="51" t="s">
        <v>194</v>
      </c>
      <c r="C4" s="51" t="s">
        <v>191</v>
      </c>
      <c r="D4" s="52">
        <v>2.5</v>
      </c>
      <c r="E4" s="53" t="s">
        <v>197</v>
      </c>
    </row>
    <row r="5">
      <c r="A5" s="54" t="s">
        <v>198</v>
      </c>
      <c r="B5" s="54" t="s">
        <v>190</v>
      </c>
      <c r="C5" s="54" t="s">
        <v>191</v>
      </c>
      <c r="D5" s="55">
        <v>16.5</v>
      </c>
      <c r="E5" s="57" t="s">
        <v>199</v>
      </c>
    </row>
    <row r="6">
      <c r="A6" s="51" t="s">
        <v>200</v>
      </c>
      <c r="B6" s="51" t="s">
        <v>201</v>
      </c>
      <c r="C6" s="51" t="s">
        <v>202</v>
      </c>
      <c r="D6" s="52">
        <v>5.9</v>
      </c>
      <c r="E6" s="53" t="s">
        <v>203</v>
      </c>
    </row>
    <row r="7">
      <c r="A7" s="54" t="s">
        <v>204</v>
      </c>
      <c r="B7" s="54" t="s">
        <v>205</v>
      </c>
      <c r="C7" s="58" t="s">
        <v>206</v>
      </c>
      <c r="D7" s="55">
        <v>8.9</v>
      </c>
      <c r="E7" s="57" t="s">
        <v>207</v>
      </c>
    </row>
    <row r="8">
      <c r="A8" s="51" t="s">
        <v>208</v>
      </c>
      <c r="B8" s="51" t="s">
        <v>209</v>
      </c>
      <c r="C8" s="51" t="s">
        <v>202</v>
      </c>
      <c r="D8" s="52">
        <v>6.9</v>
      </c>
      <c r="E8" s="53" t="s">
        <v>210</v>
      </c>
    </row>
    <row r="12">
      <c r="C12" s="42" t="s">
        <v>0</v>
      </c>
    </row>
  </sheetData>
  <hyperlinks>
    <hyperlink r:id="rId1" ref="E2"/>
    <hyperlink r:id="rId2" ref="E3"/>
    <hyperlink r:id="rId3" location="complte_desc" ref="E4"/>
    <hyperlink r:id="rId4" ref="E5"/>
    <hyperlink r:id="rId5" ref="E6"/>
    <hyperlink r:id="rId6" ref="E7"/>
    <hyperlink r:id="rId7" ref="E8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8.63"/>
    <col customWidth="1" min="3" max="3" width="14.5"/>
    <col customWidth="1" min="5" max="5" width="18.13"/>
    <col customWidth="1" min="6" max="6" width="20.88"/>
  </cols>
  <sheetData>
    <row r="1">
      <c r="A1" s="50" t="s">
        <v>211</v>
      </c>
      <c r="B1" s="50" t="s">
        <v>212</v>
      </c>
      <c r="C1" s="50" t="s">
        <v>213</v>
      </c>
      <c r="D1" s="50" t="s">
        <v>214</v>
      </c>
      <c r="E1" s="50" t="s">
        <v>215</v>
      </c>
      <c r="F1" s="59"/>
    </row>
    <row r="2">
      <c r="A2" s="60" t="s">
        <v>216</v>
      </c>
      <c r="B2" s="61"/>
      <c r="C2" s="61"/>
      <c r="D2" s="61"/>
      <c r="E2" s="62"/>
    </row>
    <row r="3">
      <c r="A3" s="51" t="s">
        <v>217</v>
      </c>
      <c r="B3" s="51">
        <v>1.0</v>
      </c>
      <c r="C3" s="51" t="s">
        <v>218</v>
      </c>
      <c r="D3" s="52" t="s">
        <v>219</v>
      </c>
      <c r="E3" s="51" t="s">
        <v>220</v>
      </c>
    </row>
    <row r="4">
      <c r="A4" s="54" t="s">
        <v>221</v>
      </c>
      <c r="B4" s="54">
        <v>2.0</v>
      </c>
      <c r="C4" s="54" t="s">
        <v>222</v>
      </c>
      <c r="D4" s="55" t="s">
        <v>223</v>
      </c>
      <c r="E4" s="63" t="s">
        <v>224</v>
      </c>
    </row>
    <row r="5">
      <c r="A5" s="51" t="s">
        <v>225</v>
      </c>
      <c r="B5" s="51">
        <v>1.0</v>
      </c>
      <c r="C5" s="51" t="s">
        <v>85</v>
      </c>
      <c r="D5" s="52" t="s">
        <v>226</v>
      </c>
      <c r="E5" s="51" t="s">
        <v>15</v>
      </c>
    </row>
    <row r="6">
      <c r="A6" s="64" t="s">
        <v>227</v>
      </c>
      <c r="B6" s="54">
        <v>1.0</v>
      </c>
      <c r="C6" s="54" t="s">
        <v>85</v>
      </c>
      <c r="D6" s="55" t="s">
        <v>228</v>
      </c>
      <c r="E6" s="63" t="s">
        <v>224</v>
      </c>
    </row>
    <row r="7">
      <c r="A7" s="51" t="s">
        <v>229</v>
      </c>
      <c r="B7" s="51">
        <v>1.0</v>
      </c>
      <c r="C7" s="51" t="s">
        <v>230</v>
      </c>
      <c r="D7" s="52" t="s">
        <v>231</v>
      </c>
      <c r="E7" s="52" t="s">
        <v>231</v>
      </c>
      <c r="F7" s="65"/>
    </row>
    <row r="8">
      <c r="A8" s="66" t="s">
        <v>232</v>
      </c>
      <c r="B8" s="66">
        <v>2.0</v>
      </c>
      <c r="C8" s="66" t="s">
        <v>58</v>
      </c>
      <c r="D8" s="67" t="s">
        <v>231</v>
      </c>
      <c r="E8" s="66" t="s">
        <v>231</v>
      </c>
      <c r="F8" s="54" t="s">
        <v>233</v>
      </c>
    </row>
    <row r="9">
      <c r="A9" s="51" t="s">
        <v>234</v>
      </c>
      <c r="B9" s="51">
        <v>1.0</v>
      </c>
      <c r="C9" s="51" t="s">
        <v>58</v>
      </c>
      <c r="D9" s="52" t="s">
        <v>235</v>
      </c>
      <c r="E9" s="51" t="s">
        <v>236</v>
      </c>
      <c r="F9" s="54" t="s">
        <v>237</v>
      </c>
    </row>
    <row r="10">
      <c r="A10" s="60" t="s">
        <v>238</v>
      </c>
      <c r="B10" s="61"/>
      <c r="C10" s="61"/>
      <c r="D10" s="61"/>
      <c r="E10" s="62"/>
      <c r="F10" s="59"/>
    </row>
    <row r="11">
      <c r="A11" s="51" t="s">
        <v>239</v>
      </c>
      <c r="B11" s="51">
        <v>1.0</v>
      </c>
      <c r="C11" s="51" t="s">
        <v>58</v>
      </c>
      <c r="D11" s="52" t="s">
        <v>240</v>
      </c>
      <c r="E11" s="51" t="s">
        <v>241</v>
      </c>
    </row>
    <row r="12">
      <c r="A12" s="54" t="s">
        <v>242</v>
      </c>
      <c r="B12" s="54">
        <v>1.0</v>
      </c>
      <c r="C12" s="54" t="s">
        <v>243</v>
      </c>
      <c r="D12" s="55" t="s">
        <v>244</v>
      </c>
      <c r="E12" s="54" t="s">
        <v>245</v>
      </c>
    </row>
    <row r="13">
      <c r="A13" s="51" t="s">
        <v>229</v>
      </c>
      <c r="B13" s="51">
        <v>1.0</v>
      </c>
      <c r="C13" s="51" t="s">
        <v>230</v>
      </c>
      <c r="D13" s="52" t="s">
        <v>231</v>
      </c>
      <c r="E13" s="52" t="s">
        <v>231</v>
      </c>
      <c r="F13" s="54" t="s">
        <v>246</v>
      </c>
    </row>
    <row r="14">
      <c r="A14" s="54" t="s">
        <v>234</v>
      </c>
      <c r="B14" s="54">
        <v>1.0</v>
      </c>
      <c r="C14" s="54" t="s">
        <v>58</v>
      </c>
      <c r="D14" s="55" t="s">
        <v>235</v>
      </c>
      <c r="E14" s="54" t="s">
        <v>236</v>
      </c>
      <c r="F14" s="54" t="s">
        <v>247</v>
      </c>
    </row>
  </sheetData>
  <mergeCells count="4">
    <mergeCell ref="F1:F6"/>
    <mergeCell ref="A2:E2"/>
    <mergeCell ref="A10:E10"/>
    <mergeCell ref="F10:F12"/>
  </mergeCells>
  <drawing r:id="rId1"/>
</worksheet>
</file>